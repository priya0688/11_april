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"/>
    </mc:Choice>
  </mc:AlternateContent>
  <xr:revisionPtr revIDLastSave="0" documentId="13_ncr:1_{A8DAAFDD-530D-445A-84DD-444C26A2B69B}" xr6:coauthVersionLast="47" xr6:coauthVersionMax="47" xr10:uidLastSave="{00000000-0000-0000-0000-000000000000}"/>
  <bookViews>
    <workbookView xWindow="-110" yWindow="-110" windowWidth="19420" windowHeight="10300" xr2:uid="{B5C0D93E-E1E0-4C3F-9E5D-3416BD256B1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D3" i="1" l="1"/>
  <c r="AD4" i="1"/>
  <c r="AD5" i="1"/>
  <c r="AD6" i="1"/>
  <c r="AD2" i="1"/>
  <c r="AC3" i="1"/>
  <c r="AC4" i="1"/>
  <c r="AC5" i="1"/>
  <c r="AC6" i="1"/>
  <c r="AC2" i="1"/>
  <c r="B2" i="1"/>
  <c r="S3" i="1"/>
  <c r="S4" i="1"/>
  <c r="S5" i="1"/>
  <c r="S6" i="1"/>
  <c r="S2" i="1"/>
  <c r="Q3" i="1"/>
  <c r="Q4" i="1"/>
  <c r="Q5" i="1"/>
  <c r="Q6" i="1"/>
  <c r="Q2" i="1"/>
  <c r="O3" i="1"/>
  <c r="O4" i="1"/>
  <c r="O5" i="1"/>
  <c r="O6" i="1"/>
  <c r="O2" i="1"/>
  <c r="M3" i="1"/>
  <c r="M4" i="1"/>
  <c r="M5" i="1"/>
  <c r="M6" i="1"/>
  <c r="M2" i="1"/>
  <c r="K3" i="1"/>
  <c r="K4" i="1"/>
  <c r="W4" i="1" s="1"/>
  <c r="K5" i="1"/>
  <c r="K6" i="1"/>
  <c r="K2" i="1"/>
  <c r="W2" i="1" l="1"/>
  <c r="W3" i="1"/>
  <c r="T5" i="1"/>
  <c r="X2" i="1"/>
  <c r="X4" i="1"/>
  <c r="V2" i="1"/>
  <c r="T4" i="1"/>
  <c r="V3" i="1"/>
  <c r="Y4" i="1"/>
  <c r="Y5" i="1"/>
  <c r="T3" i="1"/>
  <c r="V4" i="1"/>
  <c r="X5" i="1"/>
  <c r="Y2" i="1"/>
  <c r="X3" i="1"/>
  <c r="Y3" i="1"/>
  <c r="T2" i="1"/>
  <c r="T6" i="1"/>
  <c r="W5" i="1"/>
  <c r="X6" i="1"/>
  <c r="V6" i="1"/>
  <c r="V5" i="1"/>
  <c r="Y6" i="1"/>
  <c r="W6" i="1"/>
</calcChain>
</file>

<file path=xl/sharedStrings.xml><?xml version="1.0" encoding="utf-8"?>
<sst xmlns="http://schemas.openxmlformats.org/spreadsheetml/2006/main" count="59" uniqueCount="43">
  <si>
    <t>seriyal no</t>
  </si>
  <si>
    <t>name</t>
  </si>
  <si>
    <t>first</t>
  </si>
  <si>
    <t>full name</t>
  </si>
  <si>
    <t>maths</t>
  </si>
  <si>
    <t>eco</t>
  </si>
  <si>
    <t>sd</t>
  </si>
  <si>
    <t>eng</t>
  </si>
  <si>
    <t>mgt</t>
  </si>
  <si>
    <t>total</t>
  </si>
  <si>
    <t>min</t>
  </si>
  <si>
    <t>max</t>
  </si>
  <si>
    <t>avg</t>
  </si>
  <si>
    <t>count</t>
  </si>
  <si>
    <t>priya</t>
  </si>
  <si>
    <t>diya</t>
  </si>
  <si>
    <t>jiya</t>
  </si>
  <si>
    <t>riya</t>
  </si>
  <si>
    <t>dhriya</t>
  </si>
  <si>
    <t>patel</t>
  </si>
  <si>
    <t>adani</t>
  </si>
  <si>
    <t>ambani</t>
  </si>
  <si>
    <t>aghani</t>
  </si>
  <si>
    <t>chovtiya</t>
  </si>
  <si>
    <t>priya patel</t>
  </si>
  <si>
    <t>diya chovtiya</t>
  </si>
  <si>
    <t>jiya aghani</t>
  </si>
  <si>
    <t>riya adani</t>
  </si>
  <si>
    <t>dhriya ambani</t>
  </si>
  <si>
    <t>result</t>
  </si>
  <si>
    <t>pass</t>
  </si>
  <si>
    <t>fail</t>
  </si>
  <si>
    <t>stream</t>
  </si>
  <si>
    <t>arts</t>
  </si>
  <si>
    <t>commarce</t>
  </si>
  <si>
    <t>science</t>
  </si>
  <si>
    <t>gender</t>
  </si>
  <si>
    <t>mo.no</t>
  </si>
  <si>
    <t>viva mark</t>
  </si>
  <si>
    <t>female</t>
  </si>
  <si>
    <t>roll no</t>
  </si>
  <si>
    <t>fees</t>
  </si>
  <si>
    <t>fess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</si>
</sst>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6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0" fontId="0" fillId="20" borderId="0" xfId="0" applyFill="1"/>
    <xf numFmtId="0" fontId="0" fillId="21" borderId="0" xfId="0" applyFill="1"/>
    <xf numFmtId="0" fontId="0" fillId="22" borderId="0" xfId="0" applyFill="1"/>
    <xf numFmtId="0" fontId="0" fillId="23" borderId="0" xfId="0" applyFill="1"/>
    <xf numFmtId="0" fontId="0" fillId="24" borderId="0" xfId="0" applyFill="1"/>
    <xf numFmtId="0" fontId="0" fillId="25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6D26BE-BAB9-4A2C-9508-A37903238184}">
  <dimension ref="A1:AD6"/>
  <sheetViews>
    <sheetView tabSelected="1" topLeftCell="I1" workbookViewId="0">
      <selection activeCell="K2" sqref="K2:K6"/>
    </sheetView>
  </sheetViews>
  <sheetFormatPr defaultRowHeight="14.5" x14ac:dyDescent="0.35"/>
  <cols>
    <col min="8" max="9" width="15.36328125" customWidth="1"/>
    <col min="10" max="11" width="9.7265625" customWidth="1"/>
    <col min="12" max="13" width="9.1796875" customWidth="1"/>
    <col min="27" max="27" width="10.81640625" bestFit="1" customWidth="1"/>
  </cols>
  <sheetData>
    <row r="1" spans="1:30" x14ac:dyDescent="0.35">
      <c r="A1" s="1" t="s">
        <v>0</v>
      </c>
      <c r="B1" s="2" t="s">
        <v>40</v>
      </c>
      <c r="C1" s="3" t="s">
        <v>1</v>
      </c>
      <c r="D1" s="4" t="s">
        <v>32</v>
      </c>
      <c r="E1" s="5" t="s">
        <v>41</v>
      </c>
      <c r="F1" s="6" t="s">
        <v>42</v>
      </c>
      <c r="G1" s="7" t="s">
        <v>2</v>
      </c>
      <c r="H1" s="8" t="s">
        <v>3</v>
      </c>
      <c r="J1" s="9" t="s">
        <v>4</v>
      </c>
      <c r="K1" s="10" t="s">
        <v>29</v>
      </c>
      <c r="L1" s="11" t="s">
        <v>5</v>
      </c>
      <c r="M1" s="12" t="s">
        <v>29</v>
      </c>
      <c r="N1" s="13" t="s">
        <v>6</v>
      </c>
      <c r="O1" s="14" t="s">
        <v>29</v>
      </c>
      <c r="P1" s="15" t="s">
        <v>7</v>
      </c>
      <c r="Q1" s="16" t="s">
        <v>29</v>
      </c>
      <c r="R1" s="17" t="s">
        <v>8</v>
      </c>
      <c r="S1" s="7" t="s">
        <v>29</v>
      </c>
      <c r="T1" s="18" t="s">
        <v>9</v>
      </c>
      <c r="U1" s="14" t="s">
        <v>29</v>
      </c>
      <c r="V1" s="19" t="s">
        <v>10</v>
      </c>
      <c r="W1" s="3" t="s">
        <v>11</v>
      </c>
      <c r="X1" s="20" t="s">
        <v>12</v>
      </c>
      <c r="Y1" s="12" t="s">
        <v>13</v>
      </c>
      <c r="Z1" s="21" t="s">
        <v>36</v>
      </c>
      <c r="AA1" s="22" t="s">
        <v>37</v>
      </c>
      <c r="AB1" s="8" t="s">
        <v>38</v>
      </c>
      <c r="AC1" s="23" t="s">
        <v>30</v>
      </c>
      <c r="AD1" s="24" t="s">
        <v>31</v>
      </c>
    </row>
    <row r="2" spans="1:30" x14ac:dyDescent="0.35">
      <c r="A2">
        <v>1</v>
      </c>
      <c r="B2">
        <f>1000</f>
        <v>1000</v>
      </c>
      <c r="C2" t="s">
        <v>14</v>
      </c>
      <c r="D2" t="s">
        <v>33</v>
      </c>
      <c r="G2" t="s">
        <v>19</v>
      </c>
      <c r="H2" t="s">
        <v>24</v>
      </c>
      <c r="J2">
        <v>76</v>
      </c>
      <c r="K2" t="str">
        <f>IF(J2:J6&gt;50,"pass","fail")</f>
        <v>pass</v>
      </c>
      <c r="L2">
        <v>55</v>
      </c>
      <c r="M2" t="str">
        <f>IF(L2:L6&gt;50,"pass","fail")</f>
        <v>pass</v>
      </c>
      <c r="N2">
        <v>90</v>
      </c>
      <c r="O2" t="str">
        <f>IF(N2:N6&gt;50,"pass","fail")</f>
        <v>pass</v>
      </c>
      <c r="P2">
        <v>66</v>
      </c>
      <c r="Q2" t="str">
        <f>IF(P2:P6 &gt;50,"pass","fail")</f>
        <v>pass</v>
      </c>
      <c r="R2">
        <v>58</v>
      </c>
      <c r="S2" t="str">
        <f>IF(R2:R6 &gt;50,"pass","fail")</f>
        <v>pass</v>
      </c>
      <c r="T2">
        <f>SUM(J2:R2)</f>
        <v>345</v>
      </c>
      <c r="U2" t="s">
        <v>30</v>
      </c>
      <c r="V2">
        <f>MIN(J2:R2)</f>
        <v>55</v>
      </c>
      <c r="W2">
        <f>MAX(J2:R2)</f>
        <v>90</v>
      </c>
      <c r="X2">
        <f>AVERAGE(J2:R2)</f>
        <v>69</v>
      </c>
      <c r="Y2">
        <f>COUNT(J2:R2)</f>
        <v>5</v>
      </c>
      <c r="Z2" t="s">
        <v>39</v>
      </c>
      <c r="AA2">
        <v>3456755436</v>
      </c>
      <c r="AC2">
        <f>COUNTIF(U2:U6,"pass")</f>
        <v>4</v>
      </c>
      <c r="AD2">
        <f>COUNTIF(U2:U6,"fail")</f>
        <v>1</v>
      </c>
    </row>
    <row r="3" spans="1:30" x14ac:dyDescent="0.35">
      <c r="A3">
        <v>2</v>
      </c>
      <c r="B3">
        <v>1001</v>
      </c>
      <c r="C3" t="s">
        <v>15</v>
      </c>
      <c r="D3" t="s">
        <v>33</v>
      </c>
      <c r="G3" t="s">
        <v>23</v>
      </c>
      <c r="H3" t="s">
        <v>25</v>
      </c>
      <c r="J3">
        <v>45</v>
      </c>
      <c r="K3" t="str">
        <f t="shared" ref="K3:K6" si="0">IF(J3:J7&gt;50,"pass","fail")</f>
        <v>fail</v>
      </c>
      <c r="L3">
        <v>76</v>
      </c>
      <c r="M3" t="str">
        <f t="shared" ref="M3:M6" si="1">IF(L3:L7&gt;50,"pass","fail")</f>
        <v>pass</v>
      </c>
      <c r="N3">
        <v>76</v>
      </c>
      <c r="O3" t="str">
        <f t="shared" ref="O3:O6" si="2">IF(N3:N7&gt;50,"pass","fail")</f>
        <v>pass</v>
      </c>
      <c r="P3">
        <v>99</v>
      </c>
      <c r="Q3" t="str">
        <f t="shared" ref="Q3:Q6" si="3">IF(P3:P7 &gt;50,"pass","fail")</f>
        <v>pass</v>
      </c>
      <c r="R3">
        <v>40</v>
      </c>
      <c r="S3" t="str">
        <f t="shared" ref="S3:S6" si="4">IF(R3:R7 &gt;50,"pass","fail")</f>
        <v>fail</v>
      </c>
      <c r="T3">
        <f>SUM(J3:R3)</f>
        <v>336</v>
      </c>
      <c r="U3" t="s">
        <v>30</v>
      </c>
      <c r="V3">
        <f>MIN(J3:R3)</f>
        <v>40</v>
      </c>
      <c r="W3">
        <f>MAX(J3:R3)</f>
        <v>99</v>
      </c>
      <c r="X3">
        <f>AVERAGE(J3:R3)</f>
        <v>67.2</v>
      </c>
      <c r="Y3">
        <f t="shared" ref="Y3:Y6" si="5">COUNT(J3:R3)</f>
        <v>5</v>
      </c>
      <c r="Z3" t="s">
        <v>39</v>
      </c>
      <c r="AA3">
        <v>5687934123</v>
      </c>
      <c r="AC3">
        <f t="shared" ref="AC3:AC6" si="6">COUNTIF(U3:U7,"pass")</f>
        <v>3</v>
      </c>
      <c r="AD3">
        <f t="shared" ref="AD3:AD6" si="7">COUNTIF(U3:U7,"fail")</f>
        <v>1</v>
      </c>
    </row>
    <row r="4" spans="1:30" x14ac:dyDescent="0.35">
      <c r="A4">
        <v>3</v>
      </c>
      <c r="B4">
        <v>1002</v>
      </c>
      <c r="C4" t="s">
        <v>16</v>
      </c>
      <c r="D4" t="s">
        <v>34</v>
      </c>
      <c r="G4" t="s">
        <v>22</v>
      </c>
      <c r="H4" t="s">
        <v>26</v>
      </c>
      <c r="J4">
        <v>67</v>
      </c>
      <c r="K4" t="str">
        <f t="shared" si="0"/>
        <v>pass</v>
      </c>
      <c r="L4">
        <v>67</v>
      </c>
      <c r="M4" t="str">
        <f t="shared" si="1"/>
        <v>pass</v>
      </c>
      <c r="N4">
        <v>43</v>
      </c>
      <c r="O4" t="str">
        <f t="shared" si="2"/>
        <v>fail</v>
      </c>
      <c r="P4">
        <v>65</v>
      </c>
      <c r="Q4" t="str">
        <f t="shared" si="3"/>
        <v>pass</v>
      </c>
      <c r="R4">
        <v>32</v>
      </c>
      <c r="S4" t="str">
        <f t="shared" si="4"/>
        <v>fail</v>
      </c>
      <c r="T4">
        <f>SUM(J4:R4)</f>
        <v>274</v>
      </c>
      <c r="U4" t="s">
        <v>31</v>
      </c>
      <c r="V4">
        <f>MIN(J4:R4)</f>
        <v>32</v>
      </c>
      <c r="W4">
        <f>MAX(J4:R4)</f>
        <v>67</v>
      </c>
      <c r="X4">
        <f>AVERAGE(J4:R4)</f>
        <v>54.8</v>
      </c>
      <c r="Y4">
        <f t="shared" si="5"/>
        <v>5</v>
      </c>
      <c r="Z4" t="s">
        <v>39</v>
      </c>
      <c r="AA4">
        <v>9876543215</v>
      </c>
      <c r="AC4">
        <f t="shared" si="6"/>
        <v>2</v>
      </c>
      <c r="AD4">
        <f t="shared" si="7"/>
        <v>1</v>
      </c>
    </row>
    <row r="5" spans="1:30" x14ac:dyDescent="0.35">
      <c r="A5">
        <v>4</v>
      </c>
      <c r="B5">
        <v>1003</v>
      </c>
      <c r="C5" t="s">
        <v>17</v>
      </c>
      <c r="D5" t="s">
        <v>34</v>
      </c>
      <c r="G5" t="s">
        <v>20</v>
      </c>
      <c r="H5" t="s">
        <v>27</v>
      </c>
      <c r="J5">
        <v>89</v>
      </c>
      <c r="K5" t="str">
        <f t="shared" si="0"/>
        <v>pass</v>
      </c>
      <c r="L5">
        <v>65</v>
      </c>
      <c r="M5" t="str">
        <f t="shared" si="1"/>
        <v>pass</v>
      </c>
      <c r="N5">
        <v>45</v>
      </c>
      <c r="O5" t="str">
        <f t="shared" si="2"/>
        <v>fail</v>
      </c>
      <c r="P5">
        <v>61</v>
      </c>
      <c r="Q5" t="str">
        <f t="shared" si="3"/>
        <v>pass</v>
      </c>
      <c r="R5">
        <v>54</v>
      </c>
      <c r="S5" t="str">
        <f t="shared" si="4"/>
        <v>pass</v>
      </c>
      <c r="T5">
        <f>SUM(J5:R5)</f>
        <v>314</v>
      </c>
      <c r="U5" t="s">
        <v>30</v>
      </c>
      <c r="V5">
        <f>MIN(J5:R5)</f>
        <v>45</v>
      </c>
      <c r="W5">
        <f>MAX(J5:R5)</f>
        <v>89</v>
      </c>
      <c r="X5">
        <f>AVERAGE(J5:R5)</f>
        <v>62.8</v>
      </c>
      <c r="Y5">
        <f t="shared" si="5"/>
        <v>5</v>
      </c>
      <c r="Z5" t="s">
        <v>39</v>
      </c>
      <c r="AA5">
        <v>6759854345</v>
      </c>
      <c r="AC5">
        <f t="shared" si="6"/>
        <v>2</v>
      </c>
      <c r="AD5">
        <f t="shared" si="7"/>
        <v>0</v>
      </c>
    </row>
    <row r="6" spans="1:30" x14ac:dyDescent="0.35">
      <c r="A6">
        <v>5</v>
      </c>
      <c r="B6">
        <v>1004</v>
      </c>
      <c r="C6" t="s">
        <v>18</v>
      </c>
      <c r="D6" t="s">
        <v>35</v>
      </c>
      <c r="G6" t="s">
        <v>21</v>
      </c>
      <c r="H6" t="s">
        <v>28</v>
      </c>
      <c r="J6">
        <v>50</v>
      </c>
      <c r="K6" t="str">
        <f t="shared" si="0"/>
        <v>fail</v>
      </c>
      <c r="L6">
        <v>78</v>
      </c>
      <c r="M6" t="str">
        <f t="shared" si="1"/>
        <v>pass</v>
      </c>
      <c r="N6">
        <v>65</v>
      </c>
      <c r="O6" t="str">
        <f t="shared" si="2"/>
        <v>pass</v>
      </c>
      <c r="P6">
        <v>81</v>
      </c>
      <c r="Q6" t="str">
        <f t="shared" si="3"/>
        <v>pass</v>
      </c>
      <c r="R6">
        <v>57</v>
      </c>
      <c r="S6" t="str">
        <f t="shared" si="4"/>
        <v>pass</v>
      </c>
      <c r="T6">
        <f>SUM(J6:R6)</f>
        <v>331</v>
      </c>
      <c r="U6" t="s">
        <v>30</v>
      </c>
      <c r="V6">
        <f>MIN(J6:R6)</f>
        <v>50</v>
      </c>
      <c r="W6">
        <f>MAX(J6:R6)</f>
        <v>81</v>
      </c>
      <c r="X6">
        <f>AVERAGE(J6:R6)</f>
        <v>66.2</v>
      </c>
      <c r="Y6">
        <f t="shared" si="5"/>
        <v>5</v>
      </c>
      <c r="Z6" t="s">
        <v>39</v>
      </c>
      <c r="AA6">
        <v>1234567890</v>
      </c>
      <c r="AC6">
        <f t="shared" si="6"/>
        <v>1</v>
      </c>
      <c r="AD6">
        <f t="shared" si="7"/>
        <v>0</v>
      </c>
    </row>
  </sheetData>
  <dataValidations count="4">
    <dataValidation type="list" allowBlank="1" showInputMessage="1" showErrorMessage="1" sqref="D2:F6" xr:uid="{479ABDD9-8F9B-4079-9546-5B19F7E213CA}">
      <formula1>"arts,commarce,science"</formula1>
    </dataValidation>
    <dataValidation type="textLength" operator="equal" allowBlank="1" showInputMessage="1" showErrorMessage="1" sqref="AA2" xr:uid="{62D8D57D-FA3E-4453-AFBC-51B90B385A8E}">
      <formula1>10</formula1>
    </dataValidation>
    <dataValidation type="list" allowBlank="1" showInputMessage="1" showErrorMessage="1" sqref="Z2:Z6" xr:uid="{1E1F3C5D-FF0D-43D6-BC24-5F8E0FF0B87D}">
      <formula1>"male,female"</formula1>
    </dataValidation>
    <dataValidation type="whole" operator="lessThanOrEqual" allowBlank="1" showInputMessage="1" showErrorMessage="1" sqref="AB2:AB6" xr:uid="{DBC2478C-7E93-494F-86A8-3D40770FF1CC}">
      <formula1>50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2026-06-06T13:12:04Z</dcterms:created>
  <dcterms:modified xsi:type="dcterms:W3CDTF">2026-06-06T15:54:22Z</dcterms:modified>
</cp:coreProperties>
</file>